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ink/ink2.xml" ContentType="application/inkml+xml"/>
  <Override PartName="/xl/ink/ink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FCLD OPEN Data Analytics\"/>
    </mc:Choice>
  </mc:AlternateContent>
  <xr:revisionPtr revIDLastSave="0" documentId="13_ncr:1_{94FBF33D-EF6E-4E71-8E6B-C014FDF4CC4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Mean, median and mode" sheetId="9" r:id="rId1"/>
    <sheet name="Skewness" sheetId="10" r:id="rId2"/>
    <sheet name="Variance" sheetId="11" r:id="rId3"/>
    <sheet name="Std and cv" sheetId="12" r:id="rId4"/>
    <sheet name="Covariance" sheetId="13" r:id="rId5"/>
    <sheet name="Correlation" sheetId="14" r:id="rId6"/>
  </sheets>
  <definedNames>
    <definedName name="_xlchart.v1.0" hidden="1">Skewness!$F$13</definedName>
    <definedName name="_xlchart.v1.1" hidden="1">Skewness!$F$14:$F$31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2" i="10" l="1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O23" i="10"/>
  <c r="O24" i="10"/>
  <c r="O25" i="10"/>
  <c r="O26" i="10"/>
  <c r="O27" i="10"/>
  <c r="O28" i="10"/>
  <c r="O29" i="10"/>
  <c r="O30" i="10"/>
  <c r="O31" i="10"/>
  <c r="O15" i="10"/>
  <c r="O16" i="10"/>
  <c r="O17" i="10"/>
  <c r="O18" i="10"/>
  <c r="O19" i="10"/>
  <c r="O20" i="10"/>
  <c r="O21" i="10"/>
  <c r="O22" i="10"/>
  <c r="O14" i="10"/>
  <c r="N16" i="10"/>
  <c r="N17" i="10"/>
  <c r="N18" i="10"/>
  <c r="N19" i="10"/>
  <c r="N20" i="10" s="1"/>
  <c r="N21" i="10" s="1"/>
  <c r="N22" i="10" s="1"/>
  <c r="N23" i="10" s="1"/>
  <c r="N24" i="10" s="1"/>
  <c r="N25" i="10" s="1"/>
  <c r="N26" i="10" s="1"/>
  <c r="N27" i="10" s="1"/>
  <c r="N28" i="10" s="1"/>
  <c r="N29" i="10" s="1"/>
  <c r="N30" i="10" s="1"/>
  <c r="N31" i="10" s="1"/>
  <c r="N15" i="10"/>
  <c r="P14" i="10"/>
  <c r="E14" i="10"/>
  <c r="F14" i="10" s="1"/>
  <c r="D15" i="10"/>
  <c r="J14" i="14"/>
  <c r="G20" i="14"/>
  <c r="G19" i="14"/>
  <c r="K12" i="13"/>
  <c r="G20" i="13"/>
  <c r="G19" i="13"/>
  <c r="G13" i="13"/>
  <c r="G14" i="13"/>
  <c r="G15" i="13"/>
  <c r="G18" i="13" s="1"/>
  <c r="G16" i="13"/>
  <c r="G12" i="13"/>
  <c r="I14" i="11"/>
  <c r="F11" i="10"/>
  <c r="I20" i="12"/>
  <c r="K10" i="14"/>
  <c r="D18" i="14"/>
  <c r="C18" i="14"/>
  <c r="G18" i="14"/>
  <c r="G17" i="14"/>
  <c r="G12" i="14"/>
  <c r="G13" i="14"/>
  <c r="G14" i="14"/>
  <c r="G15" i="14"/>
  <c r="G11" i="14"/>
  <c r="D17" i="14"/>
  <c r="C17" i="14"/>
  <c r="D18" i="13"/>
  <c r="C18" i="13"/>
  <c r="L26" i="12"/>
  <c r="L20" i="12"/>
  <c r="L18" i="12"/>
  <c r="L17" i="12"/>
  <c r="L16" i="12"/>
  <c r="I26" i="12"/>
  <c r="I17" i="12"/>
  <c r="I16" i="12"/>
  <c r="D16" i="10" l="1"/>
  <c r="E15" i="10"/>
  <c r="F15" i="10" s="1"/>
  <c r="E13" i="11"/>
  <c r="E12" i="11"/>
  <c r="E11" i="11"/>
  <c r="P11" i="10"/>
  <c r="Q10" i="10"/>
  <c r="P10" i="10"/>
  <c r="G10" i="10"/>
  <c r="F10" i="10"/>
  <c r="D17" i="10" l="1"/>
  <c r="E16" i="10"/>
  <c r="F16" i="10" s="1"/>
  <c r="G13" i="9"/>
  <c r="G12" i="9"/>
  <c r="G11" i="9"/>
  <c r="I18" i="12"/>
  <c r="E17" i="10" l="1"/>
  <c r="D18" i="10"/>
  <c r="F17" i="10"/>
  <c r="E18" i="10" l="1"/>
  <c r="F18" i="10" s="1"/>
  <c r="D19" i="10"/>
  <c r="D20" i="10" l="1"/>
  <c r="E19" i="10"/>
  <c r="F19" i="10" s="1"/>
  <c r="D21" i="10" l="1"/>
  <c r="F20" i="10"/>
  <c r="E20" i="10"/>
  <c r="D22" i="10" l="1"/>
  <c r="E21" i="10"/>
  <c r="F21" i="10"/>
  <c r="D23" i="10" l="1"/>
  <c r="E22" i="10"/>
  <c r="F22" i="10" s="1"/>
  <c r="D24" i="10" l="1"/>
  <c r="F23" i="10"/>
  <c r="E23" i="10"/>
  <c r="D25" i="10" l="1"/>
  <c r="E24" i="10"/>
  <c r="F24" i="10"/>
  <c r="D26" i="10" l="1"/>
  <c r="E25" i="10"/>
  <c r="F25" i="10"/>
  <c r="D27" i="10" l="1"/>
  <c r="E26" i="10"/>
  <c r="F26" i="10" s="1"/>
  <c r="D28" i="10" l="1"/>
  <c r="E27" i="10"/>
  <c r="F27" i="10" s="1"/>
  <c r="D29" i="10" l="1"/>
  <c r="E28" i="10"/>
  <c r="F28" i="10" s="1"/>
  <c r="E29" i="10" l="1"/>
  <c r="D30" i="10"/>
  <c r="F29" i="10"/>
  <c r="E30" i="10" l="1"/>
  <c r="F30" i="10" s="1"/>
  <c r="D31" i="10"/>
  <c r="E31" i="10" l="1"/>
  <c r="F31" i="10" s="1"/>
  <c r="F32" i="10" s="1"/>
</calcChain>
</file>

<file path=xl/sharedStrings.xml><?xml version="1.0" encoding="utf-8"?>
<sst xmlns="http://schemas.openxmlformats.org/spreadsheetml/2006/main" count="146" uniqueCount="88">
  <si>
    <t>Mean</t>
  </si>
  <si>
    <t>Median</t>
  </si>
  <si>
    <t>Mode</t>
  </si>
  <si>
    <t>Mean, median and mode</t>
  </si>
  <si>
    <t>Average income in the United States</t>
  </si>
  <si>
    <t>Background</t>
  </si>
  <si>
    <t>Task 1</t>
  </si>
  <si>
    <t>Calculate the mean, median and mode</t>
  </si>
  <si>
    <t>Task 2</t>
  </si>
  <si>
    <t>Try to interpret on the numbers you got</t>
  </si>
  <si>
    <t>Solution:</t>
  </si>
  <si>
    <t>Task 1:</t>
  </si>
  <si>
    <t>Task 2:</t>
  </si>
  <si>
    <t>Annual income</t>
  </si>
  <si>
    <t xml:space="preserve">You have a sample of 11 people and their personal annual income. </t>
  </si>
  <si>
    <t>Skewness</t>
  </si>
  <si>
    <t>You are given two datasets</t>
  </si>
  <si>
    <t>Identify the skewness of dataset 1. You may use the formula from the lesson, the skewness formula in excel (=SKEW) or you can plot it on a graph</t>
  </si>
  <si>
    <t>Identify the skewness of dataset 2. You may use the formula from the lesson, the skewness formula in excel (=SKEW) or you can plot it on a graph</t>
  </si>
  <si>
    <t>Dataset 1</t>
  </si>
  <si>
    <t>Dataset 2</t>
  </si>
  <si>
    <t>Variance</t>
  </si>
  <si>
    <t>Decide whether you have to use sample or population formula for the variance</t>
  </si>
  <si>
    <t>Calculate the variance of their income</t>
  </si>
  <si>
    <t>Task 3</t>
  </si>
  <si>
    <t>Generally, what does this number tell you?</t>
  </si>
  <si>
    <t>Task 3:</t>
  </si>
  <si>
    <t>You have the annual personal income of 11 people from the USA. Determine once again, the mean income from the exercise on mean, median and mode</t>
  </si>
  <si>
    <t>Standard deviation and coefficient of variation</t>
  </si>
  <si>
    <t>Average income in the United States and Denmark</t>
  </si>
  <si>
    <t>You have the annual personal income of 11 people from the USA and 10 from Denmark. You have the mean income for USA from previous exercises</t>
  </si>
  <si>
    <t>Decide whether you have to use sample or population formula for the standard deviation and the coefficient of variation</t>
  </si>
  <si>
    <t>Calculate the standard deviation of income in the USA and in Denmark</t>
  </si>
  <si>
    <t>Hint: You may start by calculating the mean and the variance</t>
  </si>
  <si>
    <t>Calculate the coefficient of variation of income in the USA and in Denmark</t>
  </si>
  <si>
    <t>Task 4</t>
  </si>
  <si>
    <t>Try to interpret the numbers you got</t>
  </si>
  <si>
    <t>Annual income USA</t>
  </si>
  <si>
    <t>Annual income Denmark</t>
  </si>
  <si>
    <t>Mean US</t>
  </si>
  <si>
    <t>Mean Denmark</t>
  </si>
  <si>
    <t>Variance US</t>
  </si>
  <si>
    <t>Variance Denmark</t>
  </si>
  <si>
    <t>Standard deviation US</t>
  </si>
  <si>
    <t>Standard deviation Denmark</t>
  </si>
  <si>
    <t>Coefficient of var. US</t>
  </si>
  <si>
    <t>Coefficient of var. Denmark</t>
  </si>
  <si>
    <t>Task 4:</t>
  </si>
  <si>
    <t>Median US</t>
  </si>
  <si>
    <t>Median Denmark</t>
  </si>
  <si>
    <t>Covariance</t>
  </si>
  <si>
    <t>SAT scores</t>
  </si>
  <si>
    <t>You are given data on the SAT reading and writing scores of several students from our lesson on cross tables and scatter plots</t>
  </si>
  <si>
    <t>Determine if this is sample or population</t>
  </si>
  <si>
    <t>Calculate the covariance of the two datasets</t>
  </si>
  <si>
    <t>Plot the data on scatter plot and using your previous knowledge comment on whether there is a noticeable relationship between the two variables.</t>
  </si>
  <si>
    <t>Writing</t>
  </si>
  <si>
    <t>Reading</t>
  </si>
  <si>
    <t>(x-x̅)*(y-ȳ)</t>
  </si>
  <si>
    <t xml:space="preserve">Task 1: </t>
  </si>
  <si>
    <t xml:space="preserve">Task 2: </t>
  </si>
  <si>
    <t xml:space="preserve">Task 3: </t>
  </si>
  <si>
    <t>Sum</t>
  </si>
  <si>
    <t>Sample size</t>
  </si>
  <si>
    <t>Cov. Sample</t>
  </si>
  <si>
    <t>Correlation</t>
  </si>
  <si>
    <t>You are given data on the SAT scores from the correlation exercise.</t>
  </si>
  <si>
    <t>Calculate the correlation coefficient of the two datasets.</t>
  </si>
  <si>
    <t>Comment on the strength of the correlation between the two datasets</t>
  </si>
  <si>
    <t>Correlation coefficient</t>
  </si>
  <si>
    <t>No Mode</t>
  </si>
  <si>
    <t>Left Skewed/Negative Skewed</t>
  </si>
  <si>
    <t>Right Skewed/Positive Skewed</t>
  </si>
  <si>
    <t>This results are not enough evidence for data-driven decision as there is a bias from an outlier.</t>
  </si>
  <si>
    <t>The dataset are samples and not the whole Population, so we will make use of Sample Variance Formula.</t>
  </si>
  <si>
    <t>We are using Sample Formulas</t>
  </si>
  <si>
    <t>This is a Sample of the Population, not the whole Population.</t>
  </si>
  <si>
    <t>There is a relationship between the two datasets. But I can't interpret the relationship yet.</t>
  </si>
  <si>
    <t>Standard Dev.</t>
  </si>
  <si>
    <t>Annual income is widely dispersed in the USA and misleading.</t>
  </si>
  <si>
    <t>The high Mean income purports people earn higher but the</t>
  </si>
  <si>
    <t>Median says otherwise.</t>
  </si>
  <si>
    <t>Averagely people earn higher in Denmark compared to the USA. The Mean &amp; Median are in close range with minimal disperity. An average citizen in Denmark stands a chance of earning higher incomes than an average citizen of the USA.</t>
  </si>
  <si>
    <t>This is widely dispersed, the value is too ambigous to represent a statistics of real annual income measure. The two outliers shows earning in the USA is not balanced.</t>
  </si>
  <si>
    <t>Interval Start</t>
  </si>
  <si>
    <t>Interval End</t>
  </si>
  <si>
    <t>Dataset 1 - Frequency</t>
  </si>
  <si>
    <t>Dataset 2 -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</si>
</sst>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\²\ * #,##0.00_);_(&quot;$&quot;* \(#,##0.00\);_(&quot;$&quot;* &quot;-&quot;??_);_(@_)"/>
    <numFmt numFmtId="165" formatCode="_([$€-2]\ * #,##0.00_);_([$€-2]\ * \(#,##0.00\);_([$€-2]\ * &quot;-&quot;??_);_(@_)"/>
    <numFmt numFmtId="166" formatCode="_(\€\²\ * #,##0.00_);_(&quot;$&quot;* \(#,##0.00\);_(&quot;$&quot;* &quot;-&quot;??_);_(@_)"/>
    <numFmt numFmtId="167" formatCode="#,##0.00_);\-\ #,##0.00_)"/>
    <numFmt numFmtId="168" formatCode="_(* #,##0_);_(* \(#,##0\);_(* &quot;-&quot;??_);_(@_)"/>
    <numFmt numFmtId="169" formatCode="#,##0_);\-\ #,##0_)"/>
    <numFmt numFmtId="170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sz val="9"/>
      <name val="Arial"/>
      <family val="2"/>
    </font>
    <font>
      <b/>
      <sz val="12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thin">
        <color rgb="FF00206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1" xfId="0" applyFont="1" applyFill="1" applyBorder="1" applyAlignment="1">
      <alignment horizontal="right"/>
    </xf>
    <xf numFmtId="0" fontId="4" fillId="2" borderId="0" xfId="0" applyFont="1" applyFill="1"/>
    <xf numFmtId="0" fontId="2" fillId="2" borderId="1" xfId="0" applyFont="1" applyFill="1" applyBorder="1"/>
    <xf numFmtId="0" fontId="4" fillId="2" borderId="2" xfId="0" applyFont="1" applyFill="1" applyBorder="1"/>
    <xf numFmtId="44" fontId="2" fillId="2" borderId="0" xfId="1" applyFont="1" applyFill="1"/>
    <xf numFmtId="44" fontId="2" fillId="2" borderId="1" xfId="1" applyFont="1" applyFill="1" applyBorder="1"/>
    <xf numFmtId="44" fontId="2" fillId="2" borderId="2" xfId="1" applyFont="1" applyFill="1" applyBorder="1"/>
    <xf numFmtId="0" fontId="4" fillId="2" borderId="0" xfId="0" applyFont="1" applyFill="1" applyAlignment="1">
      <alignment horizontal="right"/>
    </xf>
    <xf numFmtId="44" fontId="2" fillId="2" borderId="0" xfId="1" applyFont="1" applyFill="1" applyBorder="1"/>
    <xf numFmtId="44" fontId="2" fillId="2" borderId="0" xfId="1" applyFont="1" applyFill="1" applyBorder="1" applyAlignment="1">
      <alignment horizontal="right"/>
    </xf>
    <xf numFmtId="44" fontId="4" fillId="2" borderId="0" xfId="1" applyFont="1" applyFill="1" applyBorder="1"/>
    <xf numFmtId="44" fontId="2" fillId="2" borderId="0" xfId="0" applyNumberFormat="1" applyFont="1" applyFill="1"/>
    <xf numFmtId="2" fontId="2" fillId="2" borderId="0" xfId="0" applyNumberFormat="1" applyFont="1" applyFill="1"/>
    <xf numFmtId="0" fontId="5" fillId="2" borderId="0" xfId="0" applyFont="1" applyFill="1" applyAlignment="1">
      <alignment horizontal="left"/>
    </xf>
    <xf numFmtId="164" fontId="2" fillId="2" borderId="0" xfId="1" applyNumberFormat="1" applyFont="1" applyFill="1"/>
    <xf numFmtId="165" fontId="2" fillId="2" borderId="0" xfId="1" applyNumberFormat="1" applyFont="1" applyFill="1"/>
    <xf numFmtId="165" fontId="2" fillId="2" borderId="0" xfId="0" applyNumberFormat="1" applyFont="1" applyFill="1"/>
    <xf numFmtId="166" fontId="2" fillId="2" borderId="0" xfId="1" applyNumberFormat="1" applyFont="1" applyFill="1"/>
    <xf numFmtId="165" fontId="2" fillId="2" borderId="1" xfId="1" applyNumberFormat="1" applyFont="1" applyFill="1" applyBorder="1"/>
    <xf numFmtId="0" fontId="6" fillId="2" borderId="0" xfId="0" applyFont="1" applyFill="1"/>
    <xf numFmtId="0" fontId="7" fillId="2" borderId="0" xfId="0" applyFont="1" applyFill="1"/>
    <xf numFmtId="0" fontId="8" fillId="2" borderId="1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right"/>
    </xf>
    <xf numFmtId="0" fontId="9" fillId="2" borderId="0" xfId="0" applyFont="1" applyFill="1" applyAlignment="1">
      <alignment vertical="center"/>
    </xf>
    <xf numFmtId="167" fontId="7" fillId="2" borderId="0" xfId="2" applyNumberFormat="1" applyFont="1" applyFill="1"/>
    <xf numFmtId="43" fontId="7" fillId="2" borderId="0" xfId="2" applyFont="1" applyFill="1"/>
    <xf numFmtId="0" fontId="9" fillId="2" borderId="2" xfId="0" applyFont="1" applyFill="1" applyBorder="1" applyAlignment="1">
      <alignment vertical="center"/>
    </xf>
    <xf numFmtId="168" fontId="7" fillId="2" borderId="0" xfId="2" applyNumberFormat="1" applyFont="1" applyFill="1"/>
    <xf numFmtId="167" fontId="7" fillId="2" borderId="0" xfId="2" applyNumberFormat="1" applyFont="1" applyFill="1" applyBorder="1"/>
    <xf numFmtId="169" fontId="7" fillId="2" borderId="0" xfId="2" applyNumberFormat="1" applyFont="1" applyFill="1" applyBorder="1"/>
    <xf numFmtId="43" fontId="7" fillId="2" borderId="0" xfId="0" applyNumberFormat="1" applyFont="1" applyFill="1"/>
    <xf numFmtId="2" fontId="7" fillId="2" borderId="0" xfId="0" applyNumberFormat="1" applyFont="1" applyFill="1"/>
    <xf numFmtId="44" fontId="2" fillId="2" borderId="0" xfId="1" applyNumberFormat="1" applyFont="1" applyFill="1"/>
    <xf numFmtId="167" fontId="7" fillId="2" borderId="0" xfId="0" applyNumberFormat="1" applyFont="1" applyFill="1"/>
    <xf numFmtId="0" fontId="4" fillId="2" borderId="0" xfId="0" applyFont="1" applyFill="1" applyAlignment="1">
      <alignment wrapText="1"/>
    </xf>
    <xf numFmtId="170" fontId="2" fillId="2" borderId="0" xfId="0" applyNumberFormat="1" applyFont="1" applyFill="1"/>
    <xf numFmtId="9" fontId="2" fillId="2" borderId="0" xfId="3" applyFont="1" applyFill="1"/>
    <xf numFmtId="0" fontId="2" fillId="2" borderId="0" xfId="0" applyFont="1" applyFill="1" applyAlignment="1">
      <alignment horizontal="left"/>
    </xf>
  </cellXfs>
  <cellStyles count="4">
    <cellStyle name="Comma 2" xfId="2" xr:uid="{FCC02517-7813-41B9-86AC-8ADDEDD8AD0C}"/>
    <cellStyle name="Currency" xfId="1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SAT Scores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Covariance!$D$11</c:f>
              <c:strCache>
                <c:ptCount val="1"/>
                <c:pt idx="0">
                  <c:v>Reading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Covariance!$C$12:$C$16</c:f>
              <c:numCache>
                <c:formatCode>General</c:formatCode>
                <c:ptCount val="5"/>
                <c:pt idx="0">
                  <c:v>344</c:v>
                </c:pt>
                <c:pt idx="1">
                  <c:v>383</c:v>
                </c:pt>
                <c:pt idx="2">
                  <c:v>611</c:v>
                </c:pt>
                <c:pt idx="3">
                  <c:v>713</c:v>
                </c:pt>
                <c:pt idx="4">
                  <c:v>536</c:v>
                </c:pt>
              </c:numCache>
            </c:numRef>
          </c:xVal>
          <c:yVal>
            <c:numRef>
              <c:f>Covariance!$D$12:$D$16</c:f>
              <c:numCache>
                <c:formatCode>General</c:formatCode>
                <c:ptCount val="5"/>
                <c:pt idx="0">
                  <c:v>378</c:v>
                </c:pt>
                <c:pt idx="1">
                  <c:v>349</c:v>
                </c:pt>
                <c:pt idx="2">
                  <c:v>503</c:v>
                </c:pt>
                <c:pt idx="3">
                  <c:v>719</c:v>
                </c:pt>
                <c:pt idx="4">
                  <c:v>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89-49DC-8A3B-B229D361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229007"/>
        <c:axId val="1498223599"/>
      </c:scatterChart>
      <c:valAx>
        <c:axId val="149822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Writing (x)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223599"/>
        <c:crosses val="autoZero"/>
        <c:crossBetween val="midCat"/>
      </c:valAx>
      <c:valAx>
        <c:axId val="149822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Reading (y)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229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Dataset 1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Dataset 1</a:t>
          </a:r>
        </a:p>
      </cx:txPr>
    </cx:title>
    <cx:plotArea>
      <cx:plotAreaRegion>
        <cx:series layoutId="clusteredColumn" uniqueId="{EBEAA8E7-BE0F-45C8-A72D-5176D936E63B}">
          <cx:tx>
            <cx:txData>
              <cx:f>_xlchart.v1.0</cx:f>
              <cx:v>Dataset 1 - Frequency</cx:v>
            </cx:txData>
          </cx:tx>
          <cx:dataLabels/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ustomXml" Target="../ink/ink1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ustomXml" Target="../ink/ink2.xml"/><Relationship Id="rId1" Type="http://schemas.openxmlformats.org/officeDocument/2006/relationships/chart" Target="../charts/chart1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25399</xdr:colOff>
      <xdr:row>11</xdr:row>
      <xdr:rowOff>146049</xdr:rowOff>
    </xdr:from>
    <xdr:to>
      <xdr:col>10</xdr:col>
      <xdr:colOff>508000</xdr:colOff>
      <xdr:row>24</xdr:row>
      <xdr:rowOff>88900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AE55154-37B3-4E62-8055-66356B92CFD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5299" y="1809749"/>
              <a:ext cx="2692401" cy="1847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311180</xdr:colOff>
      <xdr:row>14</xdr:row>
      <xdr:rowOff>68240</xdr:rowOff>
    </xdr:from>
    <xdr:to>
      <xdr:col>10</xdr:col>
      <xdr:colOff>453620</xdr:colOff>
      <xdr:row>20</xdr:row>
      <xdr:rowOff>91220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659EA708-2A73-4BF7-AF70-9731457618ED}"/>
                </a:ext>
              </a:extLst>
            </xdr14:cNvPr>
            <xdr14:cNvContentPartPr/>
          </xdr14:nvContentPartPr>
          <xdr14:nvPr macro=""/>
          <xdr14:xfrm>
            <a:off x="4591080" y="2176440"/>
            <a:ext cx="2352240" cy="8992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659EA708-2A73-4BF7-AF70-9731457618E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82080" y="2167800"/>
              <a:ext cx="2369880" cy="916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625475</xdr:colOff>
      <xdr:row>12</xdr:row>
      <xdr:rowOff>31750</xdr:rowOff>
    </xdr:from>
    <xdr:to>
      <xdr:col>17</xdr:col>
      <xdr:colOff>63500</xdr:colOff>
      <xdr:row>28</xdr:row>
      <xdr:rowOff>79374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32D2B4-F965-4E5F-BAE0-76FFA1303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857070</xdr:colOff>
      <xdr:row>8</xdr:row>
      <xdr:rowOff>127050</xdr:rowOff>
    </xdr:from>
    <xdr:to>
      <xdr:col>5</xdr:col>
      <xdr:colOff>857430</xdr:colOff>
      <xdr:row>8</xdr:row>
      <xdr:rowOff>127410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7BA2E4EC-25EF-4CA4-A636-26849AA81F06}"/>
                </a:ext>
              </a:extLst>
            </xdr14:cNvPr>
            <xdr14:cNvContentPartPr/>
          </xdr14:nvContentPartPr>
          <xdr14:nvPr macro=""/>
          <xdr14:xfrm>
            <a:off x="3314520" y="134625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7BA2E4EC-25EF-4CA4-A636-26849AA81F0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305520" y="133725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158670</xdr:colOff>
      <xdr:row>9</xdr:row>
      <xdr:rowOff>25280</xdr:rowOff>
    </xdr:from>
    <xdr:to>
      <xdr:col>7</xdr:col>
      <xdr:colOff>159030</xdr:colOff>
      <xdr:row>9</xdr:row>
      <xdr:rowOff>25640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49555D29-C06E-4ED9-8500-B85F0EF2AABB}"/>
                </a:ext>
              </a:extLst>
            </xdr14:cNvPr>
            <xdr14:cNvContentPartPr/>
          </xdr14:nvContentPartPr>
          <xdr14:nvPr macro=""/>
          <xdr14:xfrm>
            <a:off x="4902120" y="1390530"/>
            <a:ext cx="360" cy="3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49555D29-C06E-4ED9-8500-B85F0EF2AAB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893120" y="138153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0-30T13:53:05.431"/>
    </inkml:context>
    <inkml:brush xml:id="br0">
      <inkml:brushProperty name="width" value="0.05" units="cm"/>
      <inkml:brushProperty name="height" value="0.05" units="cm"/>
      <inkml:brushProperty name="color" value="#FFC114"/>
      <inkml:brushProperty name="ignorePressure" value="1"/>
    </inkml:brush>
  </inkml:definitions>
  <inkml:trace contextRef="#ctx0" brushRef="#br0">0 40,'6'0,"18"1,0-2,0 0,0-2,32-7,-22 2,1 2,-1 1,42-1,107 7,-67 1,1173-2,-1281 1,0-1,0 1,0 1,-1-1,1 1,0 1,10 4,48 29,-47-25,35 16,-43-22,0 1,-1 0,1 1,-1 0,-1 0,1 1,-1 0,9 12,-13-15,4 3,-1 0,2-1,-1-1,0 1,1-2,0 1,1-1,19 6,-5-1,-1 2,42 26,-21-12,-16-4,-25-19,0 0,0 0,0 0,0 0,0-1,0 1,1-1,-1 0,1-1,-1 1,8 1,76 13,-55-9,0-1,42 1,-64-6,-1 0,0 1,1 1,-1-1,17 8,18 5,198 59,-240-73,48 12,1-1,0-4,60 4,-101-11,74 0,-61-2,1 1,40 6,-13 9,-41-11,1 0,-1-1,1 0,13 1,-10-2,0 0,0 2,-1 0,25 10,-24-8,1-1,-1 0,30 5,136 9,-168-17,-1-1,0 2,13 3,-20-4,0 0,-1 0,1 0,-1 0,0 0,1 1,-1 0,0 0,-1 0,6 5,2 4,0-2,2 0,13 10,-13-11,-8-6,0 0,0-1,1 1,-1-1,1 0,10 2,-11-3,0 0,0 1,0-1,0 1,-1 0,1 0,0 1,-1 0,6 4,38 29,-36-28,0 1,-1 1,17 15,-18-15,1 0,0 0,0-1,1-1,1 0,13 7,-23-14,0 1,-1 0,0 0,1-1,-1 2,0-1,0 0,0 0,0 1,0-1,-1 1,1-1,-1 1,0 0,1 0,-1-1,0 1,0 4,1 5,-1 0,0 0,-1 18,0-18,0 0,3 20,22 95,-21-90,-4-31,0 1,1 0,0-1,0 1,0-1,1 1,0-1,1 0,-1 0,6 9,17 26,-17-25,2 0,0-1,1 0,0-1,1 0,18 16,-1-5,45 52,-64-68,0 0,0-1,1 0,12 7,22 16,-30-20,0-2,1 1,19 7,-2 0,57 22,-60-28,40 22,-52-22,-12-6,1-1,0-1,-1 1,1-1,1 0,-1 0,0-1,1 0,-1-1,10 2,0-2,-1 1,0 0,1 1,22 9,-31-9,-1 1,1 1,-1-1,0 2,0-1,11 12,-11-10,0 0,1-1,0 0,16 9,-4-6,0-2,1 0,38 6,20 6,-75-17,0 0,0 0,-1 0,1 0,-1 0,0 1,1-1,3 5,-4-4,0 0,0 0,0-1,1 1,-1-1,1 0,0 0,-1 0,6 1,47 14,-1 3,72 36,-120-54,0 1,1-1,-1 0,15 2,-15-3,1 0,0 1,-1 0,14 6,-19-7,0 0,0 0,0 0,-1 0,1 1,0-1,-1 1,1-1,-1 1,0 0,1 0,-1-1,0 1,0 0,0 0,0 0,0 0,-1 0,1 0,-1 1,1 2,1 25,-2-23,0-1,1 1,-1-1,4 12,-3-16,0 0,-1 0,1 0,0-1,1 1,-1 0,0 0,0 0,1-1,-1 1,1-1,0 1,-1-1,1 0,0 0,0 0,0 0,3 2,5 1,2 0,1 1,-1 1,0 0,0 0,-1 2,0-1,0 1,-1 1,15 14,-18-14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0-29T17:30:05.439"/>
    </inkml:context>
    <inkml:brush xml:id="br0">
      <inkml:brushProperty name="width" value="0.05" units="cm"/>
      <inkml:brushProperty name="height" value="0.05" units="cm"/>
      <inkml:brushProperty name="color" value="#FFC114"/>
      <inkml:brushProperty name="ignorePressure" value="1"/>
    </inkml:brush>
  </inkml:definitions>
  <inkml:trace contextRef="#ctx0" brushRef="#br0">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3-10-29T17:30:10.500"/>
    </inkml:context>
    <inkml:brush xml:id="br0">
      <inkml:brushProperty name="width" value="0.05" units="cm"/>
      <inkml:brushProperty name="height" value="0.05" units="cm"/>
      <inkml:brushProperty name="color" value="#FFC114"/>
      <inkml:brushProperty name="ignorePressure" value="1"/>
    </inkml:brush>
  </inkml:definitions>
  <inkml:trace contextRef="#ctx0" brushRef="#br0">0 0,'0'0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1"/>
  <sheetViews>
    <sheetView zoomScaleNormal="100" workbookViewId="0">
      <selection activeCell="E16" sqref="E16"/>
    </sheetView>
  </sheetViews>
  <sheetFormatPr defaultColWidth="8.81640625" defaultRowHeight="11.5" x14ac:dyDescent="0.25"/>
  <cols>
    <col min="1" max="1" width="2" style="1" customWidth="1"/>
    <col min="2" max="2" width="14.7265625" style="1" customWidth="1"/>
    <col min="3" max="3" width="14" style="1" bestFit="1" customWidth="1"/>
    <col min="4" max="4" width="6.54296875" style="1" bestFit="1" customWidth="1"/>
    <col min="5" max="5" width="10.7265625" style="1" customWidth="1"/>
    <col min="6" max="6" width="10.7265625" style="1" bestFit="1" customWidth="1"/>
    <col min="7" max="7" width="12.6328125" style="1" customWidth="1"/>
    <col min="8" max="8" width="10.6328125" style="1" customWidth="1"/>
    <col min="9" max="9" width="10.453125" style="1" customWidth="1"/>
    <col min="10" max="16384" width="8.81640625" style="1"/>
  </cols>
  <sheetData>
    <row r="1" spans="2:8" ht="15.5" x14ac:dyDescent="0.35">
      <c r="B1" s="2" t="s">
        <v>3</v>
      </c>
    </row>
    <row r="2" spans="2:8" x14ac:dyDescent="0.25">
      <c r="B2" s="4" t="s">
        <v>4</v>
      </c>
    </row>
    <row r="3" spans="2:8" x14ac:dyDescent="0.25">
      <c r="B3" s="4"/>
    </row>
    <row r="4" spans="2:8" x14ac:dyDescent="0.25">
      <c r="B4" s="4" t="s">
        <v>5</v>
      </c>
      <c r="C4" s="1" t="s">
        <v>14</v>
      </c>
    </row>
    <row r="5" spans="2:8" x14ac:dyDescent="0.25">
      <c r="B5" s="4" t="s">
        <v>6</v>
      </c>
      <c r="C5" s="1" t="s">
        <v>7</v>
      </c>
    </row>
    <row r="6" spans="2:8" x14ac:dyDescent="0.25">
      <c r="B6" s="4" t="s">
        <v>8</v>
      </c>
      <c r="C6" s="1" t="s">
        <v>9</v>
      </c>
    </row>
    <row r="7" spans="2:8" x14ac:dyDescent="0.25">
      <c r="B7" s="4"/>
    </row>
    <row r="8" spans="2:8" x14ac:dyDescent="0.25">
      <c r="B8" s="4" t="s">
        <v>10</v>
      </c>
    </row>
    <row r="10" spans="2:8" ht="12" thickBot="1" x14ac:dyDescent="0.3">
      <c r="B10" s="3" t="s">
        <v>13</v>
      </c>
      <c r="D10" s="13" t="s">
        <v>11</v>
      </c>
      <c r="F10" s="5"/>
      <c r="G10" s="3" t="s">
        <v>13</v>
      </c>
      <c r="H10" s="10"/>
    </row>
    <row r="11" spans="2:8" x14ac:dyDescent="0.25">
      <c r="B11" s="7">
        <v>62000</v>
      </c>
      <c r="C11" s="14"/>
      <c r="F11" s="4" t="s">
        <v>0</v>
      </c>
      <c r="G11" s="7">
        <f>AVERAGE(B11:B21)</f>
        <v>189848.18181818182</v>
      </c>
      <c r="H11" s="11"/>
    </row>
    <row r="12" spans="2:8" x14ac:dyDescent="0.25">
      <c r="B12" s="7">
        <v>64000</v>
      </c>
      <c r="C12" s="14"/>
      <c r="F12" s="4" t="s">
        <v>1</v>
      </c>
      <c r="G12" s="7">
        <f>MEDIAN(B11:B21)</f>
        <v>55000</v>
      </c>
      <c r="H12" s="11"/>
    </row>
    <row r="13" spans="2:8" x14ac:dyDescent="0.25">
      <c r="B13" s="7">
        <v>49000</v>
      </c>
      <c r="C13" s="14"/>
      <c r="F13" s="6" t="s">
        <v>2</v>
      </c>
      <c r="G13" s="9">
        <f>MODE(B11:B21)</f>
        <v>64000</v>
      </c>
      <c r="H13" s="12"/>
    </row>
    <row r="14" spans="2:8" x14ac:dyDescent="0.25">
      <c r="B14" s="7">
        <v>324000</v>
      </c>
      <c r="C14" s="14"/>
    </row>
    <row r="15" spans="2:8" x14ac:dyDescent="0.25">
      <c r="B15" s="7">
        <v>1264000</v>
      </c>
      <c r="C15" s="14"/>
    </row>
    <row r="16" spans="2:8" x14ac:dyDescent="0.25">
      <c r="B16" s="7">
        <v>54330</v>
      </c>
      <c r="C16" s="14"/>
      <c r="D16" s="13" t="s">
        <v>12</v>
      </c>
      <c r="F16" s="1" t="s">
        <v>73</v>
      </c>
    </row>
    <row r="17" spans="2:4" x14ac:dyDescent="0.25">
      <c r="B17" s="7">
        <v>64000</v>
      </c>
      <c r="C17" s="14"/>
      <c r="D17" s="11"/>
    </row>
    <row r="18" spans="2:4" x14ac:dyDescent="0.25">
      <c r="B18" s="7">
        <v>51000</v>
      </c>
      <c r="C18" s="14"/>
      <c r="D18" s="11"/>
    </row>
    <row r="19" spans="2:4" x14ac:dyDescent="0.25">
      <c r="B19" s="7">
        <v>55000</v>
      </c>
      <c r="C19" s="14"/>
      <c r="D19" s="11"/>
    </row>
    <row r="20" spans="2:4" x14ac:dyDescent="0.25">
      <c r="B20" s="7">
        <v>48000</v>
      </c>
      <c r="C20" s="14"/>
      <c r="D20" s="11"/>
    </row>
    <row r="21" spans="2:4" ht="12" thickBot="1" x14ac:dyDescent="0.3">
      <c r="B21" s="8">
        <v>53000</v>
      </c>
      <c r="C21" s="14"/>
      <c r="D2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D1E8C-5969-48F3-8241-391F6C4EB0F8}">
  <sheetPr codeName="Sheet2"/>
  <dimension ref="B1:T39"/>
  <sheetViews>
    <sheetView tabSelected="1" topLeftCell="E12" workbookViewId="0">
      <selection activeCell="Q21" sqref="Q21"/>
    </sheetView>
  </sheetViews>
  <sheetFormatPr defaultColWidth="8.81640625" defaultRowHeight="11.5" x14ac:dyDescent="0.25"/>
  <cols>
    <col min="1" max="1" width="2" style="1" customWidth="1"/>
    <col min="2" max="2" width="11.453125" style="1" bestFit="1" customWidth="1"/>
    <col min="3" max="3" width="8.08984375" style="1" customWidth="1"/>
    <col min="4" max="4" width="11" style="1" bestFit="1" customWidth="1"/>
    <col min="5" max="5" width="10.36328125" style="1" bestFit="1" customWidth="1"/>
    <col min="6" max="6" width="18.36328125" style="1" bestFit="1" customWidth="1"/>
    <col min="7" max="7" width="6.54296875" style="1" bestFit="1" customWidth="1"/>
    <col min="8" max="8" width="7.453125" style="1" bestFit="1" customWidth="1"/>
    <col min="9" max="11" width="8.81640625" style="1"/>
    <col min="12" max="12" width="8.1796875" style="1" bestFit="1" customWidth="1"/>
    <col min="13" max="13" width="8.81640625" style="1"/>
    <col min="14" max="14" width="11" style="1" bestFit="1" customWidth="1"/>
    <col min="15" max="15" width="10.36328125" style="1" bestFit="1" customWidth="1"/>
    <col min="16" max="16" width="18.36328125" style="1" bestFit="1" customWidth="1"/>
    <col min="17" max="17" width="6.54296875" style="1" bestFit="1" customWidth="1"/>
    <col min="18" max="18" width="7.453125" style="1" bestFit="1" customWidth="1"/>
    <col min="19" max="16384" width="8.81640625" style="1"/>
  </cols>
  <sheetData>
    <row r="1" spans="2:20" ht="15.5" x14ac:dyDescent="0.35">
      <c r="B1" s="2" t="s">
        <v>15</v>
      </c>
    </row>
    <row r="3" spans="2:20" x14ac:dyDescent="0.25">
      <c r="B3" s="4" t="s">
        <v>5</v>
      </c>
      <c r="C3" s="40" t="s">
        <v>16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2:20" x14ac:dyDescent="0.25">
      <c r="B4" s="4" t="s">
        <v>6</v>
      </c>
      <c r="C4" s="40" t="s">
        <v>17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20" x14ac:dyDescent="0.25">
      <c r="B5" s="4" t="s">
        <v>8</v>
      </c>
      <c r="C5" s="40" t="s">
        <v>18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7" spans="2:20" x14ac:dyDescent="0.25">
      <c r="B7" s="4" t="s">
        <v>10</v>
      </c>
    </row>
    <row r="9" spans="2:20" ht="12" thickBot="1" x14ac:dyDescent="0.3">
      <c r="B9" s="3" t="s">
        <v>19</v>
      </c>
      <c r="D9" s="4" t="s">
        <v>11</v>
      </c>
      <c r="E9" s="4"/>
      <c r="F9" s="4" t="s">
        <v>0</v>
      </c>
      <c r="G9" s="4" t="s">
        <v>1</v>
      </c>
      <c r="H9" s="4" t="s">
        <v>2</v>
      </c>
      <c r="L9" s="3" t="s">
        <v>20</v>
      </c>
      <c r="N9" s="4" t="s">
        <v>12</v>
      </c>
      <c r="P9" s="4" t="s">
        <v>0</v>
      </c>
      <c r="Q9" s="4" t="s">
        <v>1</v>
      </c>
      <c r="R9" s="4" t="s">
        <v>2</v>
      </c>
    </row>
    <row r="10" spans="2:20" x14ac:dyDescent="0.25">
      <c r="B10" s="1">
        <v>48</v>
      </c>
      <c r="F10" s="15">
        <f>AVERAGE(B10:B39)</f>
        <v>370.03333333333336</v>
      </c>
      <c r="G10" s="1">
        <f>MEDIAN(B10:B39)</f>
        <v>339</v>
      </c>
      <c r="H10" s="1" t="s">
        <v>70</v>
      </c>
      <c r="L10" s="1">
        <v>119</v>
      </c>
      <c r="P10" s="15">
        <f>AVERAGE(L10:L39)</f>
        <v>603.73333333333335</v>
      </c>
      <c r="Q10" s="1">
        <f>MEDIAN(L10:L39)</f>
        <v>654.5</v>
      </c>
      <c r="R10" s="1" t="s">
        <v>70</v>
      </c>
    </row>
    <row r="11" spans="2:20" x14ac:dyDescent="0.25">
      <c r="B11" s="1">
        <v>55</v>
      </c>
      <c r="D11" s="4" t="s">
        <v>15</v>
      </c>
      <c r="E11" s="15"/>
      <c r="F11" s="15">
        <f>SKEW(B10:B39)</f>
        <v>0.63098801196505727</v>
      </c>
      <c r="G11" s="40" t="s">
        <v>72</v>
      </c>
      <c r="H11" s="40"/>
      <c r="I11" s="40"/>
      <c r="J11" s="40"/>
      <c r="L11" s="1">
        <v>160</v>
      </c>
      <c r="N11" s="4" t="s">
        <v>15</v>
      </c>
      <c r="O11" s="15"/>
      <c r="P11" s="15">
        <f>SKEW(L10:L39)</f>
        <v>-0.37064131089909275</v>
      </c>
      <c r="Q11" s="40" t="s">
        <v>71</v>
      </c>
      <c r="R11" s="40"/>
      <c r="S11" s="40"/>
      <c r="T11" s="40"/>
    </row>
    <row r="12" spans="2:20" x14ac:dyDescent="0.25">
      <c r="B12" s="1">
        <v>84</v>
      </c>
      <c r="F12" s="40"/>
      <c r="G12" s="40"/>
      <c r="H12" s="40"/>
      <c r="I12" s="40"/>
      <c r="L12" s="1">
        <v>207</v>
      </c>
      <c r="P12" s="40"/>
      <c r="Q12" s="40"/>
      <c r="R12" s="40"/>
      <c r="S12" s="40"/>
    </row>
    <row r="13" spans="2:20" ht="12" thickBot="1" x14ac:dyDescent="0.3">
      <c r="B13" s="1">
        <v>86</v>
      </c>
      <c r="D13" s="3" t="s">
        <v>84</v>
      </c>
      <c r="E13" s="3" t="s">
        <v>85</v>
      </c>
      <c r="F13" s="3" t="s">
        <v>86</v>
      </c>
      <c r="L13" s="1">
        <v>241</v>
      </c>
      <c r="N13" s="3" t="s">
        <v>84</v>
      </c>
      <c r="O13" s="3" t="s">
        <v>85</v>
      </c>
      <c r="P13" s="3" t="s">
        <v>87</v>
      </c>
    </row>
    <row r="14" spans="2:20" x14ac:dyDescent="0.25">
      <c r="B14" s="1">
        <v>99</v>
      </c>
      <c r="D14" s="1">
        <v>1</v>
      </c>
      <c r="E14" s="1">
        <f>D14+50</f>
        <v>51</v>
      </c>
      <c r="F14" s="1">
        <f>COUNTIF(B$10:B$39,"&gt;="&amp;D14)-COUNTIF(B10:B39,"&gt;="&amp;E14)</f>
        <v>1</v>
      </c>
      <c r="L14" s="1">
        <v>288</v>
      </c>
      <c r="N14" s="1">
        <v>100</v>
      </c>
      <c r="O14" s="1">
        <f>N14+50</f>
        <v>150</v>
      </c>
      <c r="P14" s="1">
        <f>COUNTIF(L$10:L$39,"&gt;="&amp;N14)-COUNTIF(L$10:L$39,"&gt;="&amp;O14)</f>
        <v>1</v>
      </c>
    </row>
    <row r="15" spans="2:20" x14ac:dyDescent="0.25">
      <c r="B15" s="1">
        <v>100</v>
      </c>
      <c r="D15" s="1">
        <f>D14+50</f>
        <v>51</v>
      </c>
      <c r="E15" s="1">
        <f t="shared" ref="E15:E31" si="0">D15+50</f>
        <v>101</v>
      </c>
      <c r="F15" s="1">
        <f t="shared" ref="F15:F31" si="1">COUNTIF(B$10:B$39,"&gt;="&amp;D15)-COUNTIF(B11:B40,"&gt;="&amp;E15)</f>
        <v>5</v>
      </c>
      <c r="L15" s="1">
        <v>370</v>
      </c>
      <c r="N15" s="1">
        <f>N14+50</f>
        <v>150</v>
      </c>
      <c r="O15" s="1">
        <f t="shared" ref="O15:O31" si="2">N15+50</f>
        <v>200</v>
      </c>
      <c r="P15" s="1">
        <f t="shared" ref="P15:P31" si="3">COUNTIF(L$10:L$39,"&gt;="&amp;N15)-COUNTIF(L$10:L$39,"&gt;="&amp;O15)</f>
        <v>1</v>
      </c>
    </row>
    <row r="16" spans="2:20" x14ac:dyDescent="0.25">
      <c r="B16" s="1">
        <v>121</v>
      </c>
      <c r="D16" s="1">
        <f t="shared" ref="D16:D31" si="4">D15+50</f>
        <v>101</v>
      </c>
      <c r="E16" s="1">
        <f t="shared" si="0"/>
        <v>151</v>
      </c>
      <c r="F16" s="1">
        <f t="shared" si="1"/>
        <v>2</v>
      </c>
      <c r="L16" s="1">
        <v>415</v>
      </c>
      <c r="N16" s="1">
        <f t="shared" ref="N16:N31" si="5">N15+50</f>
        <v>200</v>
      </c>
      <c r="O16" s="1">
        <f t="shared" si="2"/>
        <v>250</v>
      </c>
      <c r="P16" s="1">
        <f t="shared" si="3"/>
        <v>2</v>
      </c>
    </row>
    <row r="17" spans="2:16" x14ac:dyDescent="0.25">
      <c r="B17" s="1">
        <v>144</v>
      </c>
      <c r="D17" s="1">
        <f t="shared" si="4"/>
        <v>151</v>
      </c>
      <c r="E17" s="1">
        <f t="shared" si="0"/>
        <v>201</v>
      </c>
      <c r="F17" s="1">
        <f t="shared" si="1"/>
        <v>2</v>
      </c>
      <c r="L17" s="1">
        <v>495</v>
      </c>
      <c r="N17" s="1">
        <f t="shared" si="5"/>
        <v>250</v>
      </c>
      <c r="O17" s="1">
        <f t="shared" si="2"/>
        <v>300</v>
      </c>
      <c r="P17" s="1">
        <f t="shared" si="3"/>
        <v>1</v>
      </c>
    </row>
    <row r="18" spans="2:16" x14ac:dyDescent="0.25">
      <c r="B18" s="1">
        <v>163</v>
      </c>
      <c r="D18" s="1">
        <f t="shared" si="4"/>
        <v>201</v>
      </c>
      <c r="E18" s="1">
        <f t="shared" si="0"/>
        <v>251</v>
      </c>
      <c r="F18" s="1">
        <f t="shared" si="1"/>
        <v>4</v>
      </c>
      <c r="L18" s="1">
        <v>522</v>
      </c>
      <c r="N18" s="1">
        <f t="shared" si="5"/>
        <v>300</v>
      </c>
      <c r="O18" s="1">
        <f t="shared" si="2"/>
        <v>350</v>
      </c>
      <c r="P18" s="1">
        <f t="shared" si="3"/>
        <v>0</v>
      </c>
    </row>
    <row r="19" spans="2:16" x14ac:dyDescent="0.25">
      <c r="B19" s="1">
        <v>168</v>
      </c>
      <c r="D19" s="1">
        <f t="shared" si="4"/>
        <v>251</v>
      </c>
      <c r="E19" s="1">
        <f t="shared" si="0"/>
        <v>301</v>
      </c>
      <c r="F19" s="1">
        <f t="shared" si="1"/>
        <v>0</v>
      </c>
      <c r="L19" s="1">
        <v>526</v>
      </c>
      <c r="N19" s="1">
        <f t="shared" si="5"/>
        <v>350</v>
      </c>
      <c r="O19" s="1">
        <f t="shared" si="2"/>
        <v>400</v>
      </c>
      <c r="P19" s="1">
        <f t="shared" si="3"/>
        <v>1</v>
      </c>
    </row>
    <row r="20" spans="2:16" x14ac:dyDescent="0.25">
      <c r="B20" s="1">
        <v>212</v>
      </c>
      <c r="D20" s="1">
        <f t="shared" si="4"/>
        <v>301</v>
      </c>
      <c r="E20" s="1">
        <f t="shared" si="0"/>
        <v>351</v>
      </c>
      <c r="F20" s="1">
        <f t="shared" si="1"/>
        <v>1</v>
      </c>
      <c r="L20" s="1">
        <v>529</v>
      </c>
      <c r="N20" s="1">
        <f t="shared" si="5"/>
        <v>400</v>
      </c>
      <c r="O20" s="1">
        <f t="shared" si="2"/>
        <v>450</v>
      </c>
      <c r="P20" s="1">
        <f t="shared" si="3"/>
        <v>1</v>
      </c>
    </row>
    <row r="21" spans="2:16" x14ac:dyDescent="0.25">
      <c r="B21" s="1">
        <v>220</v>
      </c>
      <c r="D21" s="1">
        <f t="shared" si="4"/>
        <v>351</v>
      </c>
      <c r="E21" s="1">
        <f t="shared" si="0"/>
        <v>401</v>
      </c>
      <c r="F21" s="1">
        <f t="shared" si="1"/>
        <v>2</v>
      </c>
      <c r="L21" s="1">
        <v>559</v>
      </c>
      <c r="N21" s="1">
        <f t="shared" si="5"/>
        <v>450</v>
      </c>
      <c r="O21" s="1">
        <f t="shared" si="2"/>
        <v>500</v>
      </c>
      <c r="P21" s="1">
        <f t="shared" si="3"/>
        <v>1</v>
      </c>
    </row>
    <row r="22" spans="2:16" x14ac:dyDescent="0.25">
      <c r="B22" s="1">
        <v>221</v>
      </c>
      <c r="D22" s="1">
        <f t="shared" si="4"/>
        <v>401</v>
      </c>
      <c r="E22" s="1">
        <f t="shared" si="0"/>
        <v>451</v>
      </c>
      <c r="F22" s="1">
        <f t="shared" si="1"/>
        <v>3</v>
      </c>
      <c r="L22" s="1">
        <v>581</v>
      </c>
      <c r="N22" s="1">
        <f t="shared" si="5"/>
        <v>500</v>
      </c>
      <c r="O22" s="1">
        <f t="shared" si="2"/>
        <v>550</v>
      </c>
      <c r="P22" s="1">
        <f t="shared" si="3"/>
        <v>3</v>
      </c>
    </row>
    <row r="23" spans="2:16" x14ac:dyDescent="0.25">
      <c r="B23" s="1">
        <v>230</v>
      </c>
      <c r="D23" s="1">
        <f t="shared" si="4"/>
        <v>451</v>
      </c>
      <c r="E23" s="1">
        <f t="shared" si="0"/>
        <v>501</v>
      </c>
      <c r="F23" s="1">
        <f t="shared" si="1"/>
        <v>2</v>
      </c>
      <c r="L23" s="1">
        <v>586</v>
      </c>
      <c r="N23" s="1">
        <f t="shared" si="5"/>
        <v>550</v>
      </c>
      <c r="O23" s="1">
        <f>N23+50</f>
        <v>600</v>
      </c>
      <c r="P23" s="1">
        <f t="shared" si="3"/>
        <v>3</v>
      </c>
    </row>
    <row r="24" spans="2:16" x14ac:dyDescent="0.25">
      <c r="B24" s="1">
        <v>312</v>
      </c>
      <c r="D24" s="1">
        <f t="shared" si="4"/>
        <v>501</v>
      </c>
      <c r="E24" s="1">
        <f t="shared" si="0"/>
        <v>551</v>
      </c>
      <c r="F24" s="1">
        <f t="shared" si="1"/>
        <v>1</v>
      </c>
      <c r="L24" s="1">
        <v>653</v>
      </c>
      <c r="N24" s="1">
        <f t="shared" si="5"/>
        <v>600</v>
      </c>
      <c r="O24" s="1">
        <f t="shared" si="2"/>
        <v>650</v>
      </c>
      <c r="P24" s="1">
        <f t="shared" si="3"/>
        <v>0</v>
      </c>
    </row>
    <row r="25" spans="2:16" x14ac:dyDescent="0.25">
      <c r="B25" s="1">
        <v>366</v>
      </c>
      <c r="D25" s="1">
        <f t="shared" si="4"/>
        <v>551</v>
      </c>
      <c r="E25" s="1">
        <f t="shared" si="0"/>
        <v>601</v>
      </c>
      <c r="F25" s="1">
        <f t="shared" si="1"/>
        <v>0</v>
      </c>
      <c r="L25" s="1">
        <v>656</v>
      </c>
      <c r="N25" s="1">
        <f t="shared" si="5"/>
        <v>650</v>
      </c>
      <c r="O25" s="1">
        <f t="shared" si="2"/>
        <v>700</v>
      </c>
      <c r="P25" s="1">
        <f t="shared" si="3"/>
        <v>6</v>
      </c>
    </row>
    <row r="26" spans="2:16" x14ac:dyDescent="0.25">
      <c r="B26" s="1">
        <v>375</v>
      </c>
      <c r="D26" s="1">
        <f t="shared" si="4"/>
        <v>601</v>
      </c>
      <c r="E26" s="1">
        <f t="shared" si="0"/>
        <v>651</v>
      </c>
      <c r="F26" s="1">
        <f t="shared" si="1"/>
        <v>1</v>
      </c>
      <c r="L26" s="1">
        <v>659</v>
      </c>
      <c r="N26" s="1">
        <f t="shared" si="5"/>
        <v>700</v>
      </c>
      <c r="O26" s="1">
        <f t="shared" si="2"/>
        <v>750</v>
      </c>
      <c r="P26" s="1">
        <f t="shared" si="3"/>
        <v>1</v>
      </c>
    </row>
    <row r="27" spans="2:16" x14ac:dyDescent="0.25">
      <c r="B27" s="1">
        <v>405</v>
      </c>
      <c r="D27" s="1">
        <f t="shared" si="4"/>
        <v>651</v>
      </c>
      <c r="E27" s="1">
        <f t="shared" si="0"/>
        <v>701</v>
      </c>
      <c r="F27" s="1">
        <f t="shared" si="1"/>
        <v>2</v>
      </c>
      <c r="L27" s="1">
        <v>661</v>
      </c>
      <c r="N27" s="1">
        <f t="shared" si="5"/>
        <v>750</v>
      </c>
      <c r="O27" s="1">
        <f t="shared" si="2"/>
        <v>800</v>
      </c>
      <c r="P27" s="1">
        <f t="shared" si="3"/>
        <v>3</v>
      </c>
    </row>
    <row r="28" spans="2:16" x14ac:dyDescent="0.25">
      <c r="B28" s="1">
        <v>420</v>
      </c>
      <c r="D28" s="1">
        <f t="shared" si="4"/>
        <v>701</v>
      </c>
      <c r="E28" s="1">
        <f t="shared" si="0"/>
        <v>751</v>
      </c>
      <c r="F28" s="1">
        <f t="shared" si="1"/>
        <v>0</v>
      </c>
      <c r="L28" s="1">
        <v>676</v>
      </c>
      <c r="N28" s="1">
        <f t="shared" si="5"/>
        <v>800</v>
      </c>
      <c r="O28" s="1">
        <f t="shared" si="2"/>
        <v>850</v>
      </c>
      <c r="P28" s="1">
        <f t="shared" si="3"/>
        <v>2</v>
      </c>
    </row>
    <row r="29" spans="2:16" x14ac:dyDescent="0.25">
      <c r="B29" s="1">
        <v>428</v>
      </c>
      <c r="D29" s="1">
        <f t="shared" si="4"/>
        <v>751</v>
      </c>
      <c r="E29" s="1">
        <f t="shared" si="0"/>
        <v>801</v>
      </c>
      <c r="F29" s="1">
        <f t="shared" si="1"/>
        <v>1</v>
      </c>
      <c r="L29" s="1">
        <v>678</v>
      </c>
      <c r="N29" s="1">
        <f t="shared" si="5"/>
        <v>850</v>
      </c>
      <c r="O29" s="1">
        <f t="shared" si="2"/>
        <v>900</v>
      </c>
      <c r="P29" s="1">
        <f t="shared" si="3"/>
        <v>0</v>
      </c>
    </row>
    <row r="30" spans="2:16" x14ac:dyDescent="0.25">
      <c r="B30" s="1">
        <v>489</v>
      </c>
      <c r="D30" s="1">
        <f>D29+50</f>
        <v>801</v>
      </c>
      <c r="E30" s="1">
        <f t="shared" si="0"/>
        <v>851</v>
      </c>
      <c r="F30" s="1">
        <f t="shared" si="1"/>
        <v>0</v>
      </c>
      <c r="L30" s="1">
        <v>720</v>
      </c>
      <c r="N30" s="1">
        <f t="shared" si="5"/>
        <v>900</v>
      </c>
      <c r="O30" s="1">
        <f t="shared" si="2"/>
        <v>950</v>
      </c>
      <c r="P30" s="1">
        <f t="shared" si="3"/>
        <v>2</v>
      </c>
    </row>
    <row r="31" spans="2:16" x14ac:dyDescent="0.25">
      <c r="B31" s="1">
        <v>493</v>
      </c>
      <c r="D31" s="1">
        <f t="shared" si="4"/>
        <v>851</v>
      </c>
      <c r="E31" s="1">
        <f t="shared" si="0"/>
        <v>901</v>
      </c>
      <c r="F31" s="1">
        <f t="shared" si="1"/>
        <v>3</v>
      </c>
      <c r="L31" s="1">
        <v>760</v>
      </c>
      <c r="N31" s="1">
        <f t="shared" si="5"/>
        <v>950</v>
      </c>
      <c r="O31" s="1">
        <f t="shared" si="2"/>
        <v>1000</v>
      </c>
      <c r="P31" s="1">
        <f t="shared" si="3"/>
        <v>2</v>
      </c>
    </row>
    <row r="32" spans="2:16" x14ac:dyDescent="0.25">
      <c r="B32" s="1">
        <v>511</v>
      </c>
      <c r="F32" s="1">
        <f>SUM(F14:F31)</f>
        <v>30</v>
      </c>
      <c r="L32" s="1">
        <v>770</v>
      </c>
      <c r="P32" s="1">
        <f>SUM(P14:P31)</f>
        <v>30</v>
      </c>
    </row>
    <row r="33" spans="2:12" x14ac:dyDescent="0.25">
      <c r="B33" s="1">
        <v>624</v>
      </c>
      <c r="L33" s="1">
        <v>787</v>
      </c>
    </row>
    <row r="34" spans="2:12" x14ac:dyDescent="0.25">
      <c r="B34" s="1">
        <v>654</v>
      </c>
      <c r="L34" s="1">
        <v>800</v>
      </c>
    </row>
    <row r="35" spans="2:12" x14ac:dyDescent="0.25">
      <c r="B35" s="1">
        <v>670</v>
      </c>
      <c r="L35" s="1">
        <v>848</v>
      </c>
    </row>
    <row r="36" spans="2:12" x14ac:dyDescent="0.25">
      <c r="B36" s="1">
        <v>799</v>
      </c>
      <c r="L36" s="1">
        <v>929</v>
      </c>
    </row>
    <row r="37" spans="2:12" x14ac:dyDescent="0.25">
      <c r="B37" s="1">
        <v>865</v>
      </c>
      <c r="L37" s="1">
        <v>947</v>
      </c>
    </row>
    <row r="38" spans="2:12" x14ac:dyDescent="0.25">
      <c r="B38" s="1">
        <v>869</v>
      </c>
      <c r="L38" s="1">
        <v>975</v>
      </c>
    </row>
    <row r="39" spans="2:12" x14ac:dyDescent="0.25">
      <c r="B39" s="1">
        <v>870</v>
      </c>
      <c r="L39" s="1">
        <v>995</v>
      </c>
    </row>
  </sheetData>
  <sortState xmlns:xlrd2="http://schemas.microsoft.com/office/spreadsheetml/2017/richdata2" ref="L10:L39">
    <sortCondition ref="L10:L39"/>
  </sortState>
  <mergeCells count="7">
    <mergeCell ref="C3:N3"/>
    <mergeCell ref="C4:O4"/>
    <mergeCell ref="C5:O5"/>
    <mergeCell ref="F12:I12"/>
    <mergeCell ref="P12:S12"/>
    <mergeCell ref="G11:J11"/>
    <mergeCell ref="Q11:T1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7301C-F84C-4328-9394-8E508E70FA54}">
  <sheetPr codeName="Sheet3"/>
  <dimension ref="B1:I22"/>
  <sheetViews>
    <sheetView zoomScaleNormal="100" workbookViewId="0">
      <selection activeCell="I17" sqref="I17"/>
    </sheetView>
  </sheetViews>
  <sheetFormatPr defaultColWidth="8.81640625" defaultRowHeight="11.5" x14ac:dyDescent="0.25"/>
  <cols>
    <col min="1" max="1" width="2" style="1" customWidth="1"/>
    <col min="2" max="2" width="14.7265625" style="1" customWidth="1"/>
    <col min="3" max="3" width="14" style="1" bestFit="1" customWidth="1"/>
    <col min="4" max="4" width="7.54296875" style="1" bestFit="1" customWidth="1"/>
    <col min="5" max="5" width="11" style="1" bestFit="1" customWidth="1"/>
    <col min="6" max="6" width="10.7265625" style="1" bestFit="1" customWidth="1"/>
    <col min="7" max="7" width="12.6328125" style="1" customWidth="1"/>
    <col min="8" max="8" width="9" style="1" customWidth="1"/>
    <col min="9" max="9" width="18.54296875" style="1" bestFit="1" customWidth="1"/>
    <col min="10" max="10" width="18.6328125" style="1" bestFit="1" customWidth="1"/>
    <col min="11" max="16384" width="8.81640625" style="1"/>
  </cols>
  <sheetData>
    <row r="1" spans="2:9" ht="15.5" x14ac:dyDescent="0.35">
      <c r="B1" s="2" t="s">
        <v>21</v>
      </c>
    </row>
    <row r="2" spans="2:9" x14ac:dyDescent="0.25">
      <c r="B2" s="4" t="s">
        <v>4</v>
      </c>
    </row>
    <row r="3" spans="2:9" x14ac:dyDescent="0.25">
      <c r="B3" s="4"/>
    </row>
    <row r="4" spans="2:9" x14ac:dyDescent="0.25">
      <c r="B4" s="4" t="s">
        <v>5</v>
      </c>
      <c r="C4" s="1" t="s">
        <v>27</v>
      </c>
    </row>
    <row r="5" spans="2:9" x14ac:dyDescent="0.25">
      <c r="B5" s="4" t="s">
        <v>6</v>
      </c>
      <c r="C5" s="1" t="s">
        <v>22</v>
      </c>
    </row>
    <row r="6" spans="2:9" x14ac:dyDescent="0.25">
      <c r="B6" s="4" t="s">
        <v>8</v>
      </c>
      <c r="C6" s="1" t="s">
        <v>23</v>
      </c>
    </row>
    <row r="7" spans="2:9" x14ac:dyDescent="0.25">
      <c r="B7" s="4" t="s">
        <v>24</v>
      </c>
      <c r="C7" s="1" t="s">
        <v>25</v>
      </c>
    </row>
    <row r="8" spans="2:9" x14ac:dyDescent="0.25">
      <c r="B8" s="4"/>
    </row>
    <row r="9" spans="2:9" x14ac:dyDescent="0.25">
      <c r="B9" s="4" t="s">
        <v>10</v>
      </c>
    </row>
    <row r="11" spans="2:9" ht="12" thickBot="1" x14ac:dyDescent="0.3">
      <c r="B11" s="3" t="s">
        <v>13</v>
      </c>
      <c r="D11" s="4" t="s">
        <v>0</v>
      </c>
      <c r="E11" s="35">
        <f>AVERAGE(B12:B22)</f>
        <v>189848.18181818182</v>
      </c>
      <c r="G11" s="10" t="s">
        <v>11</v>
      </c>
      <c r="H11" s="16"/>
      <c r="I11" s="1" t="s">
        <v>74</v>
      </c>
    </row>
    <row r="12" spans="2:9" x14ac:dyDescent="0.25">
      <c r="B12" s="7">
        <v>62000</v>
      </c>
      <c r="D12" s="4" t="s">
        <v>1</v>
      </c>
      <c r="E12" s="14">
        <f>MEDIAN(B12:B22)</f>
        <v>55000</v>
      </c>
      <c r="H12" s="11"/>
    </row>
    <row r="13" spans="2:9" x14ac:dyDescent="0.25">
      <c r="B13" s="7">
        <v>64000</v>
      </c>
      <c r="D13" s="4" t="s">
        <v>2</v>
      </c>
      <c r="E13" s="7">
        <f>MODE(B12:B22)</f>
        <v>64000</v>
      </c>
      <c r="F13" s="4"/>
      <c r="H13" s="11"/>
    </row>
    <row r="14" spans="2:9" x14ac:dyDescent="0.25">
      <c r="B14" s="7">
        <v>49000</v>
      </c>
      <c r="F14" s="4"/>
      <c r="G14" s="10" t="s">
        <v>12</v>
      </c>
      <c r="H14" s="4" t="s">
        <v>21</v>
      </c>
      <c r="I14" s="17">
        <f>_xlfn.VAR.S(B12:B22)</f>
        <v>133433409536.36362</v>
      </c>
    </row>
    <row r="15" spans="2:9" x14ac:dyDescent="0.25">
      <c r="B15" s="7">
        <v>324000</v>
      </c>
    </row>
    <row r="16" spans="2:9" x14ac:dyDescent="0.25">
      <c r="B16" s="7">
        <v>1264000</v>
      </c>
      <c r="G16" s="10" t="s">
        <v>26</v>
      </c>
      <c r="I16" s="1" t="s">
        <v>83</v>
      </c>
    </row>
    <row r="17" spans="2:4" x14ac:dyDescent="0.25">
      <c r="B17" s="7">
        <v>54330</v>
      </c>
      <c r="D17" s="13"/>
    </row>
    <row r="18" spans="2:4" x14ac:dyDescent="0.25">
      <c r="B18" s="7">
        <v>64000</v>
      </c>
      <c r="D18" s="11"/>
    </row>
    <row r="19" spans="2:4" x14ac:dyDescent="0.25">
      <c r="B19" s="7">
        <v>51000</v>
      </c>
      <c r="D19" s="11"/>
    </row>
    <row r="20" spans="2:4" x14ac:dyDescent="0.25">
      <c r="B20" s="7">
        <v>55000</v>
      </c>
      <c r="D20" s="11"/>
    </row>
    <row r="21" spans="2:4" x14ac:dyDescent="0.25">
      <c r="B21" s="7">
        <v>48000</v>
      </c>
      <c r="D21" s="11"/>
    </row>
    <row r="22" spans="2:4" ht="12" thickBot="1" x14ac:dyDescent="0.3">
      <c r="B22" s="8">
        <v>53000</v>
      </c>
      <c r="D22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8BEC-DB2A-4463-8713-16B30F3FAA24}">
  <sheetPr codeName="Sheet4"/>
  <dimension ref="B1:L26"/>
  <sheetViews>
    <sheetView topLeftCell="G3" zoomScaleNormal="100" workbookViewId="0">
      <selection activeCell="K23" sqref="K23"/>
    </sheetView>
  </sheetViews>
  <sheetFormatPr defaultColWidth="8.81640625" defaultRowHeight="11.5" x14ac:dyDescent="0.25"/>
  <cols>
    <col min="1" max="1" width="2" style="1" customWidth="1"/>
    <col min="2" max="2" width="15.90625" style="1" customWidth="1"/>
    <col min="3" max="3" width="15.6328125" style="1" customWidth="1"/>
    <col min="4" max="4" width="14.81640625" style="1" customWidth="1"/>
    <col min="5" max="5" width="16.08984375" style="1" customWidth="1"/>
    <col min="6" max="6" width="10.7265625" style="1" bestFit="1" customWidth="1"/>
    <col min="7" max="7" width="6.54296875" style="1" bestFit="1" customWidth="1"/>
    <col min="8" max="8" width="18.6328125" style="1" customWidth="1"/>
    <col min="9" max="9" width="19" style="1" customWidth="1"/>
    <col min="10" max="10" width="9.26953125" style="1" customWidth="1"/>
    <col min="11" max="11" width="23.6328125" style="1" bestFit="1" customWidth="1"/>
    <col min="12" max="13" width="14.36328125" style="1" bestFit="1" customWidth="1"/>
    <col min="14" max="16384" width="8.81640625" style="1"/>
  </cols>
  <sheetData>
    <row r="1" spans="2:12" ht="15.5" x14ac:dyDescent="0.35">
      <c r="B1" s="2" t="s">
        <v>28</v>
      </c>
    </row>
    <row r="2" spans="2:12" x14ac:dyDescent="0.25">
      <c r="B2" s="4" t="s">
        <v>29</v>
      </c>
    </row>
    <row r="3" spans="2:12" x14ac:dyDescent="0.25">
      <c r="B3" s="4"/>
    </row>
    <row r="4" spans="2:12" x14ac:dyDescent="0.25">
      <c r="B4" s="4" t="s">
        <v>5</v>
      </c>
      <c r="C4" s="1" t="s">
        <v>30</v>
      </c>
    </row>
    <row r="5" spans="2:12" x14ac:dyDescent="0.25">
      <c r="B5" s="4" t="s">
        <v>6</v>
      </c>
      <c r="C5" s="1" t="s">
        <v>31</v>
      </c>
    </row>
    <row r="6" spans="2:12" x14ac:dyDescent="0.25">
      <c r="B6" s="4" t="s">
        <v>8</v>
      </c>
      <c r="C6" s="1" t="s">
        <v>32</v>
      </c>
    </row>
    <row r="7" spans="2:12" x14ac:dyDescent="0.25">
      <c r="B7" s="4"/>
      <c r="D7" s="1" t="s">
        <v>33</v>
      </c>
    </row>
    <row r="8" spans="2:12" x14ac:dyDescent="0.25">
      <c r="B8" s="4" t="s">
        <v>24</v>
      </c>
      <c r="C8" s="1" t="s">
        <v>34</v>
      </c>
    </row>
    <row r="9" spans="2:12" x14ac:dyDescent="0.25">
      <c r="B9" s="4" t="s">
        <v>35</v>
      </c>
      <c r="C9" s="1" t="s">
        <v>36</v>
      </c>
    </row>
    <row r="10" spans="2:12" x14ac:dyDescent="0.25">
      <c r="B10" s="4"/>
    </row>
    <row r="11" spans="2:12" x14ac:dyDescent="0.25">
      <c r="B11" s="4" t="s">
        <v>10</v>
      </c>
    </row>
    <row r="13" spans="2:12" ht="12" thickBot="1" x14ac:dyDescent="0.3">
      <c r="B13" s="3" t="s">
        <v>37</v>
      </c>
      <c r="E13" s="3" t="s">
        <v>38</v>
      </c>
      <c r="G13" s="10" t="s">
        <v>11</v>
      </c>
      <c r="H13" s="16"/>
      <c r="I13" s="1" t="s">
        <v>75</v>
      </c>
    </row>
    <row r="14" spans="2:12" x14ac:dyDescent="0.25">
      <c r="B14" s="7">
        <v>62000</v>
      </c>
      <c r="E14" s="18">
        <v>62000</v>
      </c>
      <c r="F14" s="14"/>
      <c r="H14" s="11"/>
    </row>
    <row r="15" spans="2:12" x14ac:dyDescent="0.25">
      <c r="B15" s="7">
        <v>64000</v>
      </c>
      <c r="E15" s="18">
        <v>63000</v>
      </c>
      <c r="F15" s="14"/>
      <c r="H15" s="11"/>
    </row>
    <row r="16" spans="2:12" x14ac:dyDescent="0.25">
      <c r="B16" s="7">
        <v>49000</v>
      </c>
      <c r="E16" s="18">
        <v>76000</v>
      </c>
      <c r="F16" s="14"/>
      <c r="G16" s="10" t="s">
        <v>12</v>
      </c>
      <c r="H16" s="4" t="s">
        <v>39</v>
      </c>
      <c r="I16" s="7">
        <f>AVERAGE(B14:B24)</f>
        <v>189848.18181818182</v>
      </c>
      <c r="K16" s="4" t="s">
        <v>40</v>
      </c>
      <c r="L16" s="19">
        <f>AVERAGE(E14:E24)</f>
        <v>67636.363636363632</v>
      </c>
    </row>
    <row r="17" spans="2:12" x14ac:dyDescent="0.25">
      <c r="B17" s="7">
        <v>324000</v>
      </c>
      <c r="E17" s="18">
        <v>79000</v>
      </c>
      <c r="F17" s="14"/>
      <c r="H17" s="4" t="s">
        <v>41</v>
      </c>
      <c r="I17" s="17">
        <f>_xlfn.VAR.S(B14:B24)</f>
        <v>133433409536.36362</v>
      </c>
      <c r="K17" s="4" t="s">
        <v>42</v>
      </c>
      <c r="L17" s="20">
        <f>_xlfn.VAR.S(E14:E24)</f>
        <v>37654545.454545453</v>
      </c>
    </row>
    <row r="18" spans="2:12" x14ac:dyDescent="0.25">
      <c r="B18" s="7">
        <v>1264000</v>
      </c>
      <c r="E18" s="18">
        <v>67000</v>
      </c>
      <c r="F18" s="14"/>
      <c r="H18" s="4" t="s">
        <v>43</v>
      </c>
      <c r="I18" s="7">
        <f>SQRT(I17)</f>
        <v>365285.38095078978</v>
      </c>
      <c r="K18" s="4" t="s">
        <v>44</v>
      </c>
      <c r="L18" s="19">
        <f>SQRT(L17)</f>
        <v>6136.3299662375921</v>
      </c>
    </row>
    <row r="19" spans="2:12" x14ac:dyDescent="0.25">
      <c r="B19" s="7">
        <v>54330</v>
      </c>
      <c r="D19" s="13"/>
      <c r="E19" s="18">
        <v>66000</v>
      </c>
      <c r="F19" s="14"/>
    </row>
    <row r="20" spans="2:12" x14ac:dyDescent="0.25">
      <c r="B20" s="7">
        <v>64000</v>
      </c>
      <c r="D20" s="11"/>
      <c r="E20" s="18">
        <v>69000</v>
      </c>
      <c r="F20" s="14"/>
      <c r="G20" s="10" t="s">
        <v>26</v>
      </c>
      <c r="H20" s="4" t="s">
        <v>45</v>
      </c>
      <c r="I20" s="39">
        <f>I18/I16</f>
        <v>1.9240920690018759</v>
      </c>
      <c r="K20" s="4" t="s">
        <v>46</v>
      </c>
      <c r="L20" s="39">
        <f>L18/L16</f>
        <v>9.072530864060957E-2</v>
      </c>
    </row>
    <row r="21" spans="2:12" x14ac:dyDescent="0.25">
      <c r="B21" s="7">
        <v>51000</v>
      </c>
      <c r="D21" s="11"/>
      <c r="E21" s="18">
        <v>68000</v>
      </c>
      <c r="F21" s="14"/>
      <c r="I21" s="38"/>
    </row>
    <row r="22" spans="2:12" x14ac:dyDescent="0.25">
      <c r="B22" s="7">
        <v>55000</v>
      </c>
      <c r="D22" s="11"/>
      <c r="E22" s="18">
        <v>57000</v>
      </c>
      <c r="F22" s="14"/>
      <c r="G22" s="10" t="s">
        <v>47</v>
      </c>
      <c r="H22" s="1" t="s">
        <v>79</v>
      </c>
      <c r="K22" s="1" t="s">
        <v>82</v>
      </c>
    </row>
    <row r="23" spans="2:12" x14ac:dyDescent="0.25">
      <c r="B23" s="7">
        <v>48000</v>
      </c>
      <c r="D23" s="11"/>
      <c r="E23" s="18">
        <v>70000</v>
      </c>
      <c r="F23" s="14"/>
      <c r="H23" s="1" t="s">
        <v>80</v>
      </c>
    </row>
    <row r="24" spans="2:12" ht="12" thickBot="1" x14ac:dyDescent="0.3">
      <c r="B24" s="8">
        <v>53000</v>
      </c>
      <c r="D24" s="11"/>
      <c r="E24" s="21">
        <v>67000</v>
      </c>
      <c r="F24" s="14"/>
      <c r="H24" s="1" t="s">
        <v>81</v>
      </c>
    </row>
    <row r="26" spans="2:12" x14ac:dyDescent="0.25">
      <c r="H26" s="4" t="s">
        <v>48</v>
      </c>
      <c r="I26" s="14">
        <f>MEDIAN(B14:B24)</f>
        <v>55000</v>
      </c>
      <c r="K26" s="4" t="s">
        <v>49</v>
      </c>
      <c r="L26" s="19">
        <f>MEDIAN(E14:E24)</f>
        <v>67000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69F28-2E91-4AB5-AA47-A6DDECFD95BB}">
  <sheetPr codeName="Sheet5"/>
  <dimension ref="B1:M30"/>
  <sheetViews>
    <sheetView topLeftCell="A6" zoomScaleNormal="100" workbookViewId="0">
      <selection activeCell="C15" sqref="C15"/>
    </sheetView>
  </sheetViews>
  <sheetFormatPr defaultColWidth="9.08984375" defaultRowHeight="11.5" x14ac:dyDescent="0.25"/>
  <cols>
    <col min="1" max="1" width="2" style="23" customWidth="1"/>
    <col min="2" max="2" width="5.453125" style="23" customWidth="1"/>
    <col min="3" max="3" width="7.54296875" style="23" customWidth="1"/>
    <col min="4" max="4" width="11.08984375" style="23" customWidth="1"/>
    <col min="5" max="5" width="9.08984375" style="23"/>
    <col min="6" max="6" width="18.7265625" style="23" customWidth="1"/>
    <col min="7" max="7" width="14" style="23" customWidth="1"/>
    <col min="8" max="11" width="9.08984375" style="23"/>
    <col min="12" max="12" width="4.81640625" style="23" customWidth="1"/>
    <col min="13" max="16384" width="9.08984375" style="23"/>
  </cols>
  <sheetData>
    <row r="1" spans="2:13" ht="15.5" x14ac:dyDescent="0.35">
      <c r="B1" s="22" t="s">
        <v>50</v>
      </c>
    </row>
    <row r="2" spans="2:13" x14ac:dyDescent="0.25">
      <c r="B2" s="4" t="s">
        <v>51</v>
      </c>
    </row>
    <row r="3" spans="2:13" x14ac:dyDescent="0.25">
      <c r="B3" s="4"/>
    </row>
    <row r="4" spans="2:13" x14ac:dyDescent="0.25">
      <c r="B4" s="4" t="s">
        <v>5</v>
      </c>
      <c r="D4" s="23" t="s">
        <v>52</v>
      </c>
    </row>
    <row r="5" spans="2:13" x14ac:dyDescent="0.25">
      <c r="B5" s="4" t="s">
        <v>6</v>
      </c>
      <c r="D5" s="23" t="s">
        <v>53</v>
      </c>
    </row>
    <row r="6" spans="2:13" x14ac:dyDescent="0.25">
      <c r="B6" s="4" t="s">
        <v>8</v>
      </c>
      <c r="D6" s="23" t="s">
        <v>54</v>
      </c>
    </row>
    <row r="7" spans="2:13" x14ac:dyDescent="0.25">
      <c r="B7" s="4" t="s">
        <v>24</v>
      </c>
      <c r="D7" s="23" t="s">
        <v>55</v>
      </c>
    </row>
    <row r="9" spans="2:13" x14ac:dyDescent="0.25">
      <c r="B9" s="4" t="s">
        <v>10</v>
      </c>
    </row>
    <row r="10" spans="2:13" x14ac:dyDescent="0.25">
      <c r="B10" s="4"/>
    </row>
    <row r="11" spans="2:13" ht="16" thickBot="1" x14ac:dyDescent="0.4">
      <c r="C11" s="24" t="s">
        <v>56</v>
      </c>
      <c r="D11" s="24" t="s">
        <v>57</v>
      </c>
      <c r="G11" s="25" t="s">
        <v>58</v>
      </c>
      <c r="J11" s="4" t="s">
        <v>59</v>
      </c>
      <c r="K11" s="23" t="s">
        <v>76</v>
      </c>
    </row>
    <row r="12" spans="2:13" x14ac:dyDescent="0.25">
      <c r="C12" s="26">
        <v>344</v>
      </c>
      <c r="D12" s="26">
        <v>378</v>
      </c>
      <c r="G12" s="27">
        <f>(C12-C$18)*(D12-D$18)</f>
        <v>19490.159999999993</v>
      </c>
      <c r="J12" s="4" t="s">
        <v>60</v>
      </c>
      <c r="K12" s="36">
        <f>G20</f>
        <v>21155.55</v>
      </c>
      <c r="M12" s="28"/>
    </row>
    <row r="13" spans="2:13" x14ac:dyDescent="0.25">
      <c r="C13" s="26">
        <v>383</v>
      </c>
      <c r="D13" s="26">
        <v>349</v>
      </c>
      <c r="G13" s="27">
        <f t="shared" ref="G13:G16" si="0">(C13-C$18)*(D13-D$18)</f>
        <v>19004.159999999993</v>
      </c>
      <c r="J13" s="4" t="s">
        <v>61</v>
      </c>
    </row>
    <row r="14" spans="2:13" x14ac:dyDescent="0.25">
      <c r="C14" s="26">
        <v>611</v>
      </c>
      <c r="D14" s="26">
        <v>503</v>
      </c>
      <c r="G14" s="27">
        <f t="shared" si="0"/>
        <v>1179.3600000000024</v>
      </c>
    </row>
    <row r="15" spans="2:13" x14ac:dyDescent="0.25">
      <c r="C15" s="26">
        <v>713</v>
      </c>
      <c r="D15" s="26">
        <v>719</v>
      </c>
      <c r="G15" s="27">
        <f t="shared" si="0"/>
        <v>44714.160000000011</v>
      </c>
    </row>
    <row r="16" spans="2:13" x14ac:dyDescent="0.25">
      <c r="C16" s="29">
        <v>536</v>
      </c>
      <c r="D16" s="29">
        <v>503</v>
      </c>
      <c r="G16" s="27">
        <f t="shared" si="0"/>
        <v>234.3600000000007</v>
      </c>
    </row>
    <row r="18" spans="2:11" x14ac:dyDescent="0.25">
      <c r="B18" s="10" t="s">
        <v>0</v>
      </c>
      <c r="C18" s="30">
        <f>AVERAGE(C12:C16)</f>
        <v>517.4</v>
      </c>
      <c r="D18" s="30">
        <f>AVERAGE(D12:D16)</f>
        <v>490.4</v>
      </c>
      <c r="F18" s="4" t="s">
        <v>62</v>
      </c>
      <c r="G18" s="31">
        <f>SUM(G12:G16)</f>
        <v>84622.2</v>
      </c>
    </row>
    <row r="19" spans="2:11" x14ac:dyDescent="0.25">
      <c r="B19" s="4"/>
      <c r="C19" s="28"/>
      <c r="D19" s="28"/>
      <c r="F19" s="4" t="s">
        <v>63</v>
      </c>
      <c r="G19" s="32">
        <f>COUNT(C12:C16)-1</f>
        <v>4</v>
      </c>
    </row>
    <row r="20" spans="2:11" x14ac:dyDescent="0.25">
      <c r="B20" s="4"/>
      <c r="C20" s="30"/>
      <c r="D20" s="30"/>
      <c r="F20" s="4" t="s">
        <v>64</v>
      </c>
      <c r="G20" s="27">
        <f>G18/G19</f>
        <v>21155.55</v>
      </c>
    </row>
    <row r="22" spans="2:11" x14ac:dyDescent="0.25">
      <c r="F22" s="4"/>
      <c r="G22" s="33"/>
    </row>
    <row r="30" spans="2:11" x14ac:dyDescent="0.25">
      <c r="K30" s="23" t="s">
        <v>77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BBEB-5D98-4AA7-BD1E-B646C6AF8056}">
  <sheetPr codeName="Sheet6"/>
  <dimension ref="B1:O21"/>
  <sheetViews>
    <sheetView zoomScaleNormal="100" workbookViewId="0">
      <selection activeCell="G20" sqref="G20"/>
    </sheetView>
  </sheetViews>
  <sheetFormatPr defaultColWidth="9.08984375" defaultRowHeight="11.5" x14ac:dyDescent="0.25"/>
  <cols>
    <col min="1" max="1" width="2" style="23" customWidth="1"/>
    <col min="2" max="2" width="8" style="23" customWidth="1"/>
    <col min="3" max="3" width="7.54296875" style="23" customWidth="1"/>
    <col min="4" max="4" width="11.08984375" style="23" customWidth="1"/>
    <col min="5" max="5" width="9.08984375" style="23"/>
    <col min="6" max="6" width="18.7265625" style="23" customWidth="1"/>
    <col min="7" max="7" width="11.453125" style="23" bestFit="1" customWidth="1"/>
    <col min="8" max="11" width="9.08984375" style="23"/>
    <col min="12" max="12" width="4.81640625" style="23" customWidth="1"/>
    <col min="13" max="13" width="9.08984375" style="23"/>
    <col min="14" max="14" width="4.1796875" style="23" customWidth="1"/>
    <col min="15" max="15" width="3.81640625" style="23" bestFit="1" customWidth="1"/>
    <col min="16" max="16384" width="9.08984375" style="23"/>
  </cols>
  <sheetData>
    <row r="1" spans="2:15" ht="15.5" x14ac:dyDescent="0.35">
      <c r="B1" s="22" t="s">
        <v>65</v>
      </c>
    </row>
    <row r="2" spans="2:15" x14ac:dyDescent="0.25">
      <c r="B2" s="4" t="s">
        <v>51</v>
      </c>
    </row>
    <row r="3" spans="2:15" x14ac:dyDescent="0.25">
      <c r="B3" s="4"/>
    </row>
    <row r="4" spans="2:15" x14ac:dyDescent="0.25">
      <c r="B4" s="4" t="s">
        <v>5</v>
      </c>
      <c r="D4" s="23" t="s">
        <v>66</v>
      </c>
    </row>
    <row r="5" spans="2:15" x14ac:dyDescent="0.25">
      <c r="B5" s="4" t="s">
        <v>6</v>
      </c>
      <c r="D5" s="23" t="s">
        <v>67</v>
      </c>
    </row>
    <row r="6" spans="2:15" x14ac:dyDescent="0.25">
      <c r="B6" s="4" t="s">
        <v>8</v>
      </c>
      <c r="D6" s="23" t="s">
        <v>68</v>
      </c>
    </row>
    <row r="7" spans="2:15" x14ac:dyDescent="0.25">
      <c r="B7" s="4"/>
    </row>
    <row r="8" spans="2:15" x14ac:dyDescent="0.25">
      <c r="B8" s="4" t="s">
        <v>10</v>
      </c>
    </row>
    <row r="9" spans="2:15" x14ac:dyDescent="0.25">
      <c r="B9" s="4"/>
    </row>
    <row r="10" spans="2:15" ht="16" thickBot="1" x14ac:dyDescent="0.4">
      <c r="C10" s="24" t="s">
        <v>56</v>
      </c>
      <c r="D10" s="24" t="s">
        <v>57</v>
      </c>
      <c r="G10" s="25" t="s">
        <v>58</v>
      </c>
      <c r="J10" s="4" t="s">
        <v>59</v>
      </c>
      <c r="K10" s="34">
        <f>G20</f>
        <v>0.93812571333175854</v>
      </c>
      <c r="O10" s="34"/>
    </row>
    <row r="11" spans="2:15" x14ac:dyDescent="0.25">
      <c r="C11" s="26">
        <v>344</v>
      </c>
      <c r="D11" s="26">
        <v>378</v>
      </c>
      <c r="G11" s="27">
        <f>(C11-C$17)*(D11-D$17)</f>
        <v>19490.159999999993</v>
      </c>
      <c r="J11" s="4" t="s">
        <v>12</v>
      </c>
      <c r="M11" s="28"/>
    </row>
    <row r="12" spans="2:15" x14ac:dyDescent="0.25">
      <c r="C12" s="26">
        <v>383</v>
      </c>
      <c r="D12" s="26">
        <v>349</v>
      </c>
      <c r="G12" s="27">
        <f t="shared" ref="G12:G15" si="0">(C12-C$17)*(D12-D$17)</f>
        <v>19004.159999999993</v>
      </c>
      <c r="J12" s="4"/>
    </row>
    <row r="13" spans="2:15" x14ac:dyDescent="0.25">
      <c r="C13" s="26">
        <v>611</v>
      </c>
      <c r="D13" s="26">
        <v>503</v>
      </c>
      <c r="G13" s="27">
        <f t="shared" si="0"/>
        <v>1179.3600000000024</v>
      </c>
    </row>
    <row r="14" spans="2:15" x14ac:dyDescent="0.25">
      <c r="C14" s="26">
        <v>713</v>
      </c>
      <c r="D14" s="26">
        <v>719</v>
      </c>
      <c r="G14" s="27">
        <f t="shared" si="0"/>
        <v>44714.160000000011</v>
      </c>
      <c r="J14" s="34">
        <f>CORREL(C11:C15,D11:D15)</f>
        <v>0.93812571333175809</v>
      </c>
    </row>
    <row r="15" spans="2:15" x14ac:dyDescent="0.25">
      <c r="C15" s="29">
        <v>536</v>
      </c>
      <c r="D15" s="29">
        <v>503</v>
      </c>
      <c r="G15" s="27">
        <f t="shared" si="0"/>
        <v>234.3600000000007</v>
      </c>
    </row>
    <row r="17" spans="2:7" x14ac:dyDescent="0.25">
      <c r="B17" s="10" t="s">
        <v>0</v>
      </c>
      <c r="C17" s="30">
        <f>AVERAGE(C11:C15)</f>
        <v>517.4</v>
      </c>
      <c r="D17" s="30">
        <f>AVERAGE(D11:D15)</f>
        <v>490.4</v>
      </c>
      <c r="F17" s="4" t="s">
        <v>62</v>
      </c>
      <c r="G17" s="31">
        <f>SUM(G11:G15)</f>
        <v>84622.2</v>
      </c>
    </row>
    <row r="18" spans="2:7" ht="23" x14ac:dyDescent="0.25">
      <c r="B18" s="37" t="s">
        <v>78</v>
      </c>
      <c r="C18" s="28">
        <f>_xlfn.STDEV.S(C11:C15)</f>
        <v>154.51310624021508</v>
      </c>
      <c r="D18" s="28">
        <f>_xlfn.STDEV.S(D11:D15)</f>
        <v>145.9479359223692</v>
      </c>
      <c r="F18" s="4" t="s">
        <v>63</v>
      </c>
      <c r="G18" s="32">
        <f>COUNT(D11:D15)-1</f>
        <v>4</v>
      </c>
    </row>
    <row r="19" spans="2:7" x14ac:dyDescent="0.25">
      <c r="B19" s="4"/>
      <c r="C19" s="30"/>
      <c r="D19" s="30"/>
      <c r="F19" s="4" t="s">
        <v>64</v>
      </c>
      <c r="G19" s="27">
        <f>G17/G18</f>
        <v>21155.55</v>
      </c>
    </row>
    <row r="20" spans="2:7" x14ac:dyDescent="0.25">
      <c r="F20" s="4" t="s">
        <v>69</v>
      </c>
      <c r="G20" s="34">
        <f>G19/C18/D18</f>
        <v>0.93812571333175854</v>
      </c>
    </row>
    <row r="21" spans="2:7" x14ac:dyDescent="0.25">
      <c r="F21" s="4"/>
      <c r="G21" s="3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Mean, median and mode</vt:lpstr>
      <vt:lpstr>Skewness</vt:lpstr>
      <vt:lpstr>Variance</vt:lpstr>
      <vt:lpstr>Std and cv</vt:lpstr>
      <vt:lpstr>Covariance</vt:lpstr>
      <vt:lpstr>Correlation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Iliya Valchanov</dc:creator>
  <cp:lastModifiedBy>Gbenga Adeyinka Ayeleso</cp:lastModifiedBy>
  <dcterms:created xsi:type="dcterms:W3CDTF">2017-04-19T13:21:25Z</dcterms:created>
  <dcterms:modified xsi:type="dcterms:W3CDTF">2023-10-31T08:10:40Z</dcterms:modified>
</cp:coreProperties>
</file>